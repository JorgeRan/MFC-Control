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jorgerangel/Downloads/"/>
    </mc:Choice>
  </mc:AlternateContent>
  <xr:revisionPtr revIDLastSave="0" documentId="8_{D344A996-1B09-714E-AC66-43ECDFAAFC0A}" xr6:coauthVersionLast="47" xr6:coauthVersionMax="47" xr10:uidLastSave="{00000000-0000-0000-0000-000000000000}"/>
  <bookViews>
    <workbookView xWindow="0" yWindow="660" windowWidth="29040" windowHeight="17520" xr2:uid="{00000000-000D-0000-FFFF-FFFF00000000}"/>
  </bookViews>
  <sheets>
    <sheet name="MFCInventory-ReadDirectlyByFlar" sheetId="1" r:id="rId1"/>
    <sheet name="Gas Conversion Facto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0" i="1"/>
  <c r="E29" i="1"/>
  <c r="E28" i="1"/>
  <c r="E27" i="1"/>
  <c r="D26" i="1"/>
  <c r="D25" i="1"/>
  <c r="D24" i="1"/>
  <c r="D22" i="1"/>
  <c r="D23" i="1"/>
  <c r="D17" i="1"/>
  <c r="D16" i="1"/>
  <c r="D21" i="1"/>
  <c r="D20" i="1"/>
  <c r="F4" i="2" l="1"/>
  <c r="I3" i="2"/>
  <c r="I2" i="2"/>
  <c r="H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tc={28B43155-2D51-4604-B080-50ED901AE1B4}</author>
  </authors>
  <commentList>
    <comment ref="E1" authorId="0" shapeId="0" xr:uid="{28B43155-2D51-4604-B080-50ED901AE1B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Bronkhost defines Standard at 20C and calls it ls/min</t>
      </text>
    </comment>
  </commentList>
</comments>
</file>

<file path=xl/sharedStrings.xml><?xml version="1.0" encoding="utf-8"?>
<sst xmlns="http://schemas.openxmlformats.org/spreadsheetml/2006/main" count="519" uniqueCount="212">
  <si>
    <t>MFC Label</t>
  </si>
  <si>
    <t>Brand</t>
  </si>
  <si>
    <t>Rated Gas</t>
  </si>
  <si>
    <t>Model</t>
  </si>
  <si>
    <t>serial#</t>
  </si>
  <si>
    <t>Tag</t>
  </si>
  <si>
    <t>Comm Port</t>
  </si>
  <si>
    <t>Node</t>
  </si>
  <si>
    <t>IDH</t>
  </si>
  <si>
    <t>IDM</t>
  </si>
  <si>
    <t>IDL</t>
  </si>
  <si>
    <t>IDS</t>
  </si>
  <si>
    <t>Baud</t>
  </si>
  <si>
    <t>Read Unit</t>
  </si>
  <si>
    <t>Write Unit</t>
  </si>
  <si>
    <t>Control</t>
  </si>
  <si>
    <t>Calibration Sheet On j_group</t>
  </si>
  <si>
    <t>AU-150C3H8-M18203157A</t>
  </si>
  <si>
    <t>Bronkhorst</t>
  </si>
  <si>
    <t>PROPANE</t>
  </si>
  <si>
    <t>F-203AV-M50-RAD-55-V</t>
  </si>
  <si>
    <t>M18203157A</t>
  </si>
  <si>
    <t>8203157A</t>
  </si>
  <si>
    <t>%</t>
  </si>
  <si>
    <t>??</t>
  </si>
  <si>
    <t>Flare Lab</t>
  </si>
  <si>
    <t>AV-50C4H10-M18203157B</t>
  </si>
  <si>
    <t>BUTANE</t>
  </si>
  <si>
    <t>F-112AC-M20-RAD-55-V</t>
  </si>
  <si>
    <t>M18203157B</t>
  </si>
  <si>
    <t>8203157B</t>
  </si>
  <si>
    <t>AL-40CH4-M16217183A</t>
  </si>
  <si>
    <t>METHANE</t>
  </si>
  <si>
    <t>F-201AV-50K-RAD-22-V</t>
  </si>
  <si>
    <t>M16217183A</t>
  </si>
  <si>
    <t>6217183A</t>
  </si>
  <si>
    <t>AN-326CH4-M18216083B</t>
  </si>
  <si>
    <t>F-002AV-LFU-55-V</t>
  </si>
  <si>
    <t>M18216083B</t>
  </si>
  <si>
    <t>8216083B</t>
  </si>
  <si>
    <t>AO-10AIR-M18204658C</t>
  </si>
  <si>
    <t>AIR</t>
  </si>
  <si>
    <t>F-201CV-10K-RAD-55-V</t>
  </si>
  <si>
    <t>M18204658C</t>
  </si>
  <si>
    <t>8204658C</t>
  </si>
  <si>
    <t>AP-0.2AIR-M16204858B</t>
  </si>
  <si>
    <t>NITROGEN</t>
  </si>
  <si>
    <t>F-201CV-200-RAD-55-V</t>
  </si>
  <si>
    <t>M16204858B</t>
  </si>
  <si>
    <t>6204858B</t>
  </si>
  <si>
    <t>AQ-0.2-M18204658A</t>
  </si>
  <si>
    <t>M18204658A</t>
  </si>
  <si>
    <t>8204658A</t>
  </si>
  <si>
    <t>AR-0.5AIR-M18216083F</t>
  </si>
  <si>
    <t>F-201CV-500-RAD-55-V</t>
  </si>
  <si>
    <t>M18216083F</t>
  </si>
  <si>
    <t>8216083F</t>
  </si>
  <si>
    <t>AS-2AIR-M18216083E</t>
  </si>
  <si>
    <t>F-201CV-2K0-RAD-55-V</t>
  </si>
  <si>
    <t>M18216083E</t>
  </si>
  <si>
    <t>8216083E</t>
  </si>
  <si>
    <t>AM-186CH4-M18216083D</t>
  </si>
  <si>
    <t>M18216083D</t>
  </si>
  <si>
    <t>8216083D</t>
  </si>
  <si>
    <t>AT-200CO2-M19202426A</t>
  </si>
  <si>
    <t>CARBON DIOXIDE</t>
  </si>
  <si>
    <t>F-203AC-M50-RAD-55-V</t>
  </si>
  <si>
    <t>M19202426A</t>
  </si>
  <si>
    <t>AW-250CH4-M19202426B</t>
  </si>
  <si>
    <t>M19202426B</t>
  </si>
  <si>
    <t>AX-3C3H8-M19203846A</t>
  </si>
  <si>
    <t>F-201CV-10K-RAD-22-V</t>
  </si>
  <si>
    <t>M19203846A</t>
  </si>
  <si>
    <t>AY-1C4H10-M19203846B</t>
  </si>
  <si>
    <t>F-201CV-5K0-RAD-22-V</t>
  </si>
  <si>
    <t>M19203846B</t>
  </si>
  <si>
    <t>A-50C2H6-110010410666001</t>
  </si>
  <si>
    <t>Brooks</t>
  </si>
  <si>
    <t>ETHANE</t>
  </si>
  <si>
    <t>SLA5851S</t>
  </si>
  <si>
    <t>RS485</t>
  </si>
  <si>
    <t>AA-60CH4-105080292363001</t>
  </si>
  <si>
    <t>5851S/BD</t>
  </si>
  <si>
    <t>0-5V</t>
  </si>
  <si>
    <t>AB-2CH4-106070316101002</t>
  </si>
  <si>
    <t>5850S/BC</t>
  </si>
  <si>
    <t>did not reply</t>
  </si>
  <si>
    <t>AC-20C2H6-106080318105001</t>
  </si>
  <si>
    <t>AD-20AIR-106080318157001</t>
  </si>
  <si>
    <t>AE-0.5N2-01B20350472</t>
  </si>
  <si>
    <t>SLA5853S 2EAB2A2A1</t>
  </si>
  <si>
    <t>01B20350472</t>
  </si>
  <si>
    <t>Digital</t>
  </si>
  <si>
    <t xml:space="preserve">Flare Lab </t>
  </si>
  <si>
    <t>AF-5N2-107010331537001</t>
  </si>
  <si>
    <t>AG-200N2-108010357720003</t>
  </si>
  <si>
    <t>5853S/BE</t>
  </si>
  <si>
    <t>Analog (+digital?)</t>
  </si>
  <si>
    <t>ME 3284</t>
  </si>
  <si>
    <t>AH-1000N2-0111080470021001</t>
  </si>
  <si>
    <t>AI-0.86N2-E4101701001</t>
  </si>
  <si>
    <t>GF040</t>
  </si>
  <si>
    <t>E4101701001</t>
  </si>
  <si>
    <t>SmLPM</t>
  </si>
  <si>
    <t>AJ-5C2H2-01B30501347</t>
  </si>
  <si>
    <t>ACETYLENE</t>
  </si>
  <si>
    <t>SLAMF50S1BAB1K2A1</t>
  </si>
  <si>
    <t>01B30501347</t>
  </si>
  <si>
    <t>AK-300N2-01B62700560</t>
  </si>
  <si>
    <t>SLA5853S2DAB2B2A1</t>
  </si>
  <si>
    <t>01B62700560</t>
  </si>
  <si>
    <t>CB 2102</t>
  </si>
  <si>
    <t>B-10C4H10-110010410666003</t>
  </si>
  <si>
    <t>C-20CO2-0110010410666002</t>
  </si>
  <si>
    <t>D-10CH4-111080470030001</t>
  </si>
  <si>
    <t>SLS5850S 1PAB1A2A1</t>
  </si>
  <si>
    <t>E-2AIR-107060341313001</t>
  </si>
  <si>
    <t>F-40H2-110010410665001</t>
  </si>
  <si>
    <t>HYDROGEN</t>
  </si>
  <si>
    <t>SLA5851S1PAB1C1A1</t>
  </si>
  <si>
    <t>H-400CH4-108010357720005</t>
  </si>
  <si>
    <t>5853S</t>
  </si>
  <si>
    <t>SLPM</t>
  </si>
  <si>
    <t>I-16N2-T65953001</t>
  </si>
  <si>
    <t>T65953001</t>
  </si>
  <si>
    <t>J-50CO2-106080318109001</t>
  </si>
  <si>
    <t>5851S</t>
  </si>
  <si>
    <t>0106680S18109001</t>
  </si>
  <si>
    <t>K-20AIR-106080318106001</t>
  </si>
  <si>
    <t>M-200AIR-108010357720003</t>
  </si>
  <si>
    <t>SLA5853S</t>
  </si>
  <si>
    <t>N-200AIR-108010357720004</t>
  </si>
  <si>
    <t>O-40H2-110010410665002</t>
  </si>
  <si>
    <t>RS232</t>
  </si>
  <si>
    <t>P-200H2-111030454952002</t>
  </si>
  <si>
    <t>SLA5851S1DAB1B1A1</t>
  </si>
  <si>
    <t>Q-200H2-111030454952001</t>
  </si>
  <si>
    <t>T-25C3H8-0110010410666004</t>
  </si>
  <si>
    <t>V-70N2-110010410664002</t>
  </si>
  <si>
    <t>W-100AIR-0106080318108001</t>
  </si>
  <si>
    <t>X-300AIR-01B62700560</t>
  </si>
  <si>
    <t>SLA5800</t>
  </si>
  <si>
    <t>Canal Lab</t>
  </si>
  <si>
    <t>Y-70N2-110010410664001</t>
  </si>
  <si>
    <t>SLA5851</t>
  </si>
  <si>
    <t>Z-3C4H10-109070393111001</t>
  </si>
  <si>
    <t>SLA5850S1BAB6B2A1</t>
  </si>
  <si>
    <t>CH4</t>
  </si>
  <si>
    <t>C2H6</t>
  </si>
  <si>
    <t>C2H4</t>
  </si>
  <si>
    <t>C2H2</t>
  </si>
  <si>
    <t>C3H8</t>
  </si>
  <si>
    <t>C4H10</t>
  </si>
  <si>
    <t>CO2</t>
  </si>
  <si>
    <t>N2</t>
  </si>
  <si>
    <t>H2</t>
  </si>
  <si>
    <t>He</t>
  </si>
  <si>
    <t>CO</t>
  </si>
  <si>
    <t>From</t>
  </si>
  <si>
    <t>To</t>
  </si>
  <si>
    <t>Conversion Factor</t>
  </si>
  <si>
    <t>→</t>
  </si>
  <si>
    <t>AZ-100CH4-M19212142A</t>
  </si>
  <si>
    <t>F-202AV-M10-RAD-55-V</t>
  </si>
  <si>
    <t>M19212142A</t>
  </si>
  <si>
    <t>M19212142B</t>
  </si>
  <si>
    <t>BA-100N2-M19212142B</t>
  </si>
  <si>
    <t>BB-5C4H10-M19210844B</t>
  </si>
  <si>
    <t>F-201CV-20K-RAD-55-V</t>
  </si>
  <si>
    <t>M19210844B</t>
  </si>
  <si>
    <t>BC-0.5C4H10-M19210844A</t>
  </si>
  <si>
    <t>F-201CV-5K0-RAD-55-V</t>
  </si>
  <si>
    <t>M19210844A</t>
  </si>
  <si>
    <t>BE-100N2-M20201229A</t>
  </si>
  <si>
    <t>M20201229A</t>
  </si>
  <si>
    <t>BD-100CH4-M20201229B</t>
  </si>
  <si>
    <t>M20201229B</t>
  </si>
  <si>
    <t>Rated Range [SLPM, @0C]</t>
  </si>
  <si>
    <t>Rated Range [LPM, @20C]</t>
  </si>
  <si>
    <t>Canal Storage</t>
  </si>
  <si>
    <t>Canal 2102</t>
  </si>
  <si>
    <t>Last Known Location</t>
  </si>
  <si>
    <t>BF-100AIR-M21202718A</t>
  </si>
  <si>
    <t>M21202718A</t>
  </si>
  <si>
    <t>M21202718B</t>
  </si>
  <si>
    <t>BG-100N2-M21202718B</t>
  </si>
  <si>
    <t>BH-500CH4-M20211084A</t>
  </si>
  <si>
    <t>F-203AI-M50-RAD-55-V</t>
  </si>
  <si>
    <t>M20211084A</t>
  </si>
  <si>
    <t>BI-10AIR-M18201159B</t>
  </si>
  <si>
    <t>F-201CB-10K-AAD-00-V</t>
  </si>
  <si>
    <t>M18201159B</t>
  </si>
  <si>
    <t>CARBON MONOXIDE</t>
  </si>
  <si>
    <t>M22200438B</t>
  </si>
  <si>
    <t>BJ-0.005CO-M22200438B</t>
  </si>
  <si>
    <t>Canal 2102. Note appears to want 14.7psia input. El-BASE, No node</t>
  </si>
  <si>
    <t>BK-20N2O-M24200697A</t>
  </si>
  <si>
    <t>NITROUS OXIDE</t>
  </si>
  <si>
    <t>F-201AI-50K-RAD-22-V</t>
  </si>
  <si>
    <t>M24200697A</t>
  </si>
  <si>
    <t>BL-20C2H2-M24200697B</t>
  </si>
  <si>
    <t>M24200697B</t>
  </si>
  <si>
    <t>BM-50CH4-M24200697C</t>
  </si>
  <si>
    <t>F-201AI-50K-RAD-22-Z</t>
  </si>
  <si>
    <t>M24200697C</t>
  </si>
  <si>
    <t>F-201CV-020-RAD-22-V</t>
  </si>
  <si>
    <t>M22200438C</t>
  </si>
  <si>
    <t>BN-0.015CH4-M22200438C</t>
  </si>
  <si>
    <t>F-200CV-002-RAD-22-V</t>
  </si>
  <si>
    <t>BO-2CO2-M2220043A</t>
  </si>
  <si>
    <t>F-201CV-5K0-RAD-22-X</t>
  </si>
  <si>
    <t>M22200438A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</si>
</sst>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3">
    <xf numFmtId="0" fontId="0" fillId="0" borderId="0" xfId="0"/>
    <xf numFmtId="11" fontId="0" fillId="0" borderId="0" xfId="0" applyNumberFormat="1"/>
    <xf numFmtId="0" fontId="19" fillId="33" borderId="0" xfId="42" applyFont="1" applyFill="1" applyAlignment="1">
      <alignment horizontal="center"/>
    </xf>
    <xf numFmtId="0" fontId="19" fillId="0" borderId="0" xfId="42" applyFont="1" applyAlignment="1">
      <alignment horizontal="center"/>
    </xf>
    <xf numFmtId="164" fontId="19" fillId="0" borderId="0" xfId="42" applyNumberFormat="1" applyFont="1" applyAlignment="1">
      <alignment horizontal="center"/>
    </xf>
    <xf numFmtId="2" fontId="0" fillId="0" borderId="0" xfId="0" applyNumberFormat="1"/>
    <xf numFmtId="0" fontId="0" fillId="34" borderId="0" xfId="0" applyFill="1"/>
    <xf numFmtId="2" fontId="0" fillId="34" borderId="0" xfId="0" applyNumberFormat="1" applyFill="1"/>
    <xf numFmtId="0" fontId="0" fillId="35" borderId="0" xfId="0" applyFill="1"/>
    <xf numFmtId="2" fontId="0" fillId="35" borderId="0" xfId="0" applyNumberFormat="1" applyFill="1"/>
    <xf numFmtId="0" fontId="0" fillId="36" borderId="0" xfId="0" applyFill="1"/>
    <xf numFmtId="11" fontId="0" fillId="36" borderId="0" xfId="0" applyNumberFormat="1" applyFill="1"/>
    <xf numFmtId="0" fontId="20" fillId="0" borderId="0" xfId="0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mon Festa-Bianchet" id="{A8BEA46C-E6D7-4168-86F6-FCA2219DD21E}" userId="S::SimonFestaBianchet@cmail.carleton.ca::7fb5cc84-dceb-42bb-9b35-f39cc0a887b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0-09-02T20:22:35.27" personId="{A8BEA46C-E6D7-4168-86F6-FCA2219DD21E}" id="{28B43155-2D51-4604-B080-50ED901AE1B4}">
    <text>Note Bronkhost defines Standard at 20C and calls it ls/min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workbookViewId="0">
      <selection activeCell="A28" sqref="A28"/>
    </sheetView>
  </sheetViews>
  <sheetFormatPr baseColWidth="10" defaultColWidth="8.83203125" defaultRowHeight="15" x14ac:dyDescent="0.2"/>
  <cols>
    <col min="1" max="1" width="28" bestFit="1" customWidth="1"/>
    <col min="2" max="2" width="10.6640625" bestFit="1" customWidth="1"/>
    <col min="3" max="3" width="19.33203125" bestFit="1" customWidth="1"/>
    <col min="4" max="5" width="24" bestFit="1" customWidth="1"/>
    <col min="6" max="6" width="22.33203125" bestFit="1" customWidth="1"/>
    <col min="7" max="7" width="17.33203125" bestFit="1" customWidth="1"/>
    <col min="8" max="8" width="9.33203125" bestFit="1" customWidth="1"/>
    <col min="9" max="9" width="10.83203125" bestFit="1" customWidth="1"/>
    <col min="10" max="10" width="5.83203125" bestFit="1" customWidth="1"/>
    <col min="11" max="11" width="12.33203125" bestFit="1" customWidth="1"/>
    <col min="12" max="12" width="4.5" bestFit="1" customWidth="1"/>
    <col min="13" max="14" width="4" bestFit="1" customWidth="1"/>
    <col min="15" max="15" width="6" bestFit="1" customWidth="1"/>
    <col min="16" max="16" width="9.5" bestFit="1" customWidth="1"/>
    <col min="17" max="17" width="10.1640625" bestFit="1" customWidth="1"/>
    <col min="18" max="18" width="16.6640625" bestFit="1" customWidth="1"/>
    <col min="19" max="19" width="30.33203125" bestFit="1" customWidth="1"/>
    <col min="20" max="20" width="27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177</v>
      </c>
      <c r="E1" t="s">
        <v>178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181</v>
      </c>
      <c r="T1" t="s">
        <v>16</v>
      </c>
    </row>
    <row r="2" spans="1:20" x14ac:dyDescent="0.2">
      <c r="A2" t="s">
        <v>17</v>
      </c>
      <c r="B2" t="s">
        <v>18</v>
      </c>
      <c r="C2" t="s">
        <v>19</v>
      </c>
      <c r="D2" s="5">
        <v>150</v>
      </c>
      <c r="F2" t="s">
        <v>20</v>
      </c>
      <c r="G2" t="s">
        <v>21</v>
      </c>
      <c r="H2" t="s">
        <v>22</v>
      </c>
      <c r="I2">
        <v>16</v>
      </c>
      <c r="J2">
        <v>3</v>
      </c>
      <c r="P2" t="s">
        <v>23</v>
      </c>
      <c r="Q2" t="s">
        <v>23</v>
      </c>
      <c r="R2" t="s">
        <v>24</v>
      </c>
      <c r="S2" t="s">
        <v>25</v>
      </c>
    </row>
    <row r="3" spans="1:20" x14ac:dyDescent="0.2">
      <c r="A3" t="s">
        <v>26</v>
      </c>
      <c r="B3" t="s">
        <v>18</v>
      </c>
      <c r="C3" t="s">
        <v>27</v>
      </c>
      <c r="D3" s="5">
        <v>50</v>
      </c>
      <c r="F3" t="s">
        <v>28</v>
      </c>
      <c r="G3" t="s">
        <v>29</v>
      </c>
      <c r="H3" t="s">
        <v>30</v>
      </c>
      <c r="I3">
        <v>16</v>
      </c>
      <c r="J3">
        <v>4</v>
      </c>
      <c r="P3" t="s">
        <v>23</v>
      </c>
      <c r="Q3" t="s">
        <v>23</v>
      </c>
      <c r="R3" t="s">
        <v>24</v>
      </c>
      <c r="S3" t="s">
        <v>25</v>
      </c>
    </row>
    <row r="4" spans="1:20" x14ac:dyDescent="0.2">
      <c r="A4" t="s">
        <v>31</v>
      </c>
      <c r="B4" t="s">
        <v>18</v>
      </c>
      <c r="C4" t="s">
        <v>32</v>
      </c>
      <c r="D4" s="5">
        <v>40</v>
      </c>
      <c r="F4" t="s">
        <v>33</v>
      </c>
      <c r="G4" t="s">
        <v>34</v>
      </c>
      <c r="H4" t="s">
        <v>35</v>
      </c>
      <c r="I4">
        <v>19</v>
      </c>
      <c r="J4">
        <v>5</v>
      </c>
      <c r="P4" t="s">
        <v>23</v>
      </c>
      <c r="Q4" t="s">
        <v>23</v>
      </c>
    </row>
    <row r="5" spans="1:20" x14ac:dyDescent="0.2">
      <c r="A5" t="s">
        <v>36</v>
      </c>
      <c r="B5" t="s">
        <v>18</v>
      </c>
      <c r="C5" t="s">
        <v>32</v>
      </c>
      <c r="D5" s="5">
        <v>326.12139999999999</v>
      </c>
      <c r="E5">
        <v>350</v>
      </c>
      <c r="F5" t="s">
        <v>37</v>
      </c>
      <c r="G5" t="s">
        <v>38</v>
      </c>
      <c r="H5" t="s">
        <v>39</v>
      </c>
      <c r="I5">
        <v>16</v>
      </c>
      <c r="J5">
        <v>6</v>
      </c>
      <c r="P5" t="s">
        <v>23</v>
      </c>
      <c r="Q5" t="s">
        <v>23</v>
      </c>
      <c r="S5" t="s">
        <v>179</v>
      </c>
    </row>
    <row r="6" spans="1:20" x14ac:dyDescent="0.2">
      <c r="A6" s="6" t="s">
        <v>40</v>
      </c>
      <c r="B6" s="6" t="s">
        <v>18</v>
      </c>
      <c r="C6" s="6" t="s">
        <v>41</v>
      </c>
      <c r="D6" s="7">
        <v>10</v>
      </c>
      <c r="E6" s="6"/>
      <c r="F6" s="6" t="s">
        <v>42</v>
      </c>
      <c r="G6" s="6" t="s">
        <v>43</v>
      </c>
      <c r="H6" t="s">
        <v>44</v>
      </c>
      <c r="I6">
        <v>16</v>
      </c>
      <c r="J6">
        <v>7</v>
      </c>
      <c r="P6" t="s">
        <v>23</v>
      </c>
      <c r="Q6" t="s">
        <v>23</v>
      </c>
    </row>
    <row r="7" spans="1:20" x14ac:dyDescent="0.2">
      <c r="A7" s="8" t="s">
        <v>45</v>
      </c>
      <c r="B7" s="8" t="s">
        <v>18</v>
      </c>
      <c r="C7" s="8" t="s">
        <v>46</v>
      </c>
      <c r="D7" s="9">
        <v>0.2</v>
      </c>
      <c r="E7" s="8"/>
      <c r="F7" s="8" t="s">
        <v>47</v>
      </c>
      <c r="G7" s="8" t="s">
        <v>48</v>
      </c>
      <c r="H7" s="8" t="s">
        <v>49</v>
      </c>
      <c r="I7" s="8">
        <v>16</v>
      </c>
      <c r="J7" s="8">
        <v>8</v>
      </c>
      <c r="K7" s="8"/>
      <c r="L7" s="8"/>
      <c r="M7" s="8"/>
      <c r="N7" s="8"/>
      <c r="O7" s="8"/>
      <c r="P7" s="8" t="s">
        <v>23</v>
      </c>
      <c r="Q7" s="8" t="s">
        <v>23</v>
      </c>
      <c r="R7" s="8"/>
      <c r="S7" s="8" t="s">
        <v>25</v>
      </c>
    </row>
    <row r="8" spans="1:20" x14ac:dyDescent="0.2">
      <c r="A8" s="6" t="s">
        <v>50</v>
      </c>
      <c r="B8" s="6" t="s">
        <v>18</v>
      </c>
      <c r="C8" s="6" t="s">
        <v>32</v>
      </c>
      <c r="D8" s="7">
        <v>0.2</v>
      </c>
      <c r="E8" s="6"/>
      <c r="F8" s="6" t="s">
        <v>47</v>
      </c>
      <c r="G8" s="6" t="s">
        <v>51</v>
      </c>
      <c r="H8" t="s">
        <v>52</v>
      </c>
      <c r="I8">
        <v>16</v>
      </c>
      <c r="J8">
        <v>9</v>
      </c>
      <c r="P8" t="s">
        <v>23</v>
      </c>
      <c r="Q8" t="s">
        <v>23</v>
      </c>
    </row>
    <row r="9" spans="1:20" x14ac:dyDescent="0.2">
      <c r="A9" s="6" t="s">
        <v>53</v>
      </c>
      <c r="B9" s="6" t="s">
        <v>18</v>
      </c>
      <c r="C9" s="6" t="s">
        <v>41</v>
      </c>
      <c r="D9" s="7">
        <v>0.46588776999999998</v>
      </c>
      <c r="E9" s="6">
        <v>0.5</v>
      </c>
      <c r="F9" s="6" t="s">
        <v>54</v>
      </c>
      <c r="G9" s="6" t="s">
        <v>55</v>
      </c>
      <c r="H9" t="s">
        <v>56</v>
      </c>
      <c r="I9">
        <v>16</v>
      </c>
      <c r="J9">
        <v>10</v>
      </c>
      <c r="P9" t="s">
        <v>23</v>
      </c>
      <c r="Q9" t="s">
        <v>23</v>
      </c>
    </row>
    <row r="10" spans="1:20" x14ac:dyDescent="0.2">
      <c r="A10" s="6" t="s">
        <v>57</v>
      </c>
      <c r="B10" s="6" t="s">
        <v>18</v>
      </c>
      <c r="C10" s="6" t="s">
        <v>41</v>
      </c>
      <c r="D10" s="7">
        <v>1.8635510799999999</v>
      </c>
      <c r="E10" s="6">
        <v>2</v>
      </c>
      <c r="F10" s="6" t="s">
        <v>58</v>
      </c>
      <c r="G10" s="6" t="s">
        <v>59</v>
      </c>
      <c r="H10" t="s">
        <v>60</v>
      </c>
      <c r="I10">
        <v>16</v>
      </c>
      <c r="J10">
        <v>11</v>
      </c>
      <c r="P10" t="s">
        <v>23</v>
      </c>
      <c r="Q10" t="s">
        <v>23</v>
      </c>
    </row>
    <row r="11" spans="1:20" x14ac:dyDescent="0.2">
      <c r="A11" t="s">
        <v>61</v>
      </c>
      <c r="B11" t="s">
        <v>18</v>
      </c>
      <c r="C11" t="s">
        <v>32</v>
      </c>
      <c r="D11" s="5">
        <v>186.35509999999999</v>
      </c>
      <c r="E11">
        <v>200</v>
      </c>
      <c r="F11" t="s">
        <v>37</v>
      </c>
      <c r="G11" t="s">
        <v>62</v>
      </c>
      <c r="H11" t="s">
        <v>63</v>
      </c>
      <c r="I11">
        <v>16</v>
      </c>
      <c r="J11">
        <v>12</v>
      </c>
      <c r="P11" t="s">
        <v>23</v>
      </c>
      <c r="Q11" t="s">
        <v>23</v>
      </c>
    </row>
    <row r="12" spans="1:20" x14ac:dyDescent="0.2">
      <c r="A12" t="s">
        <v>64</v>
      </c>
      <c r="B12" t="s">
        <v>18</v>
      </c>
      <c r="C12" t="s">
        <v>65</v>
      </c>
      <c r="D12" s="5">
        <v>200</v>
      </c>
      <c r="F12" t="s">
        <v>66</v>
      </c>
      <c r="G12" t="s">
        <v>67</v>
      </c>
      <c r="I12">
        <v>16</v>
      </c>
      <c r="J12">
        <v>13</v>
      </c>
      <c r="P12" t="s">
        <v>23</v>
      </c>
      <c r="Q12" t="s">
        <v>23</v>
      </c>
      <c r="S12" t="s">
        <v>179</v>
      </c>
    </row>
    <row r="13" spans="1:20" x14ac:dyDescent="0.2">
      <c r="A13" t="s">
        <v>68</v>
      </c>
      <c r="B13" t="s">
        <v>18</v>
      </c>
      <c r="C13" t="s">
        <v>32</v>
      </c>
      <c r="D13" s="5">
        <v>250</v>
      </c>
      <c r="F13" t="s">
        <v>66</v>
      </c>
      <c r="G13" t="s">
        <v>69</v>
      </c>
      <c r="I13">
        <v>16</v>
      </c>
      <c r="J13">
        <v>14</v>
      </c>
      <c r="P13" t="s">
        <v>23</v>
      </c>
      <c r="Q13" t="s">
        <v>23</v>
      </c>
      <c r="S13" t="s">
        <v>179</v>
      </c>
    </row>
    <row r="14" spans="1:20" x14ac:dyDescent="0.2">
      <c r="A14" s="8" t="s">
        <v>70</v>
      </c>
      <c r="B14" s="8" t="s">
        <v>18</v>
      </c>
      <c r="C14" s="8" t="s">
        <v>19</v>
      </c>
      <c r="D14" s="9">
        <v>3</v>
      </c>
      <c r="E14" s="8"/>
      <c r="F14" s="8" t="s">
        <v>71</v>
      </c>
      <c r="G14" s="8" t="s">
        <v>72</v>
      </c>
      <c r="H14" s="8"/>
      <c r="I14" s="8">
        <v>16</v>
      </c>
      <c r="J14" s="8">
        <v>15</v>
      </c>
      <c r="K14" s="8"/>
      <c r="L14" s="8"/>
      <c r="M14" s="8"/>
      <c r="N14" s="8"/>
      <c r="O14" s="8"/>
      <c r="P14" s="8" t="s">
        <v>23</v>
      </c>
      <c r="Q14" s="8" t="s">
        <v>23</v>
      </c>
      <c r="R14" s="8"/>
      <c r="S14" s="8" t="s">
        <v>25</v>
      </c>
    </row>
    <row r="15" spans="1:20" x14ac:dyDescent="0.2">
      <c r="A15" t="s">
        <v>73</v>
      </c>
      <c r="B15" t="s">
        <v>18</v>
      </c>
      <c r="C15" t="s">
        <v>27</v>
      </c>
      <c r="D15" s="5">
        <v>1</v>
      </c>
      <c r="F15" t="s">
        <v>74</v>
      </c>
      <c r="G15" t="s">
        <v>75</v>
      </c>
      <c r="I15">
        <v>16</v>
      </c>
      <c r="J15">
        <v>16</v>
      </c>
      <c r="P15" t="s">
        <v>23</v>
      </c>
      <c r="Q15" t="s">
        <v>23</v>
      </c>
      <c r="S15" t="s">
        <v>25</v>
      </c>
    </row>
    <row r="16" spans="1:20" x14ac:dyDescent="0.2">
      <c r="A16" t="s">
        <v>162</v>
      </c>
      <c r="B16" t="s">
        <v>18</v>
      </c>
      <c r="C16" t="s">
        <v>32</v>
      </c>
      <c r="D16" s="5">
        <f>E16*(273.15/293.15)</f>
        <v>93.177554153163911</v>
      </c>
      <c r="E16">
        <v>100</v>
      </c>
      <c r="F16" t="s">
        <v>163</v>
      </c>
      <c r="G16" t="s">
        <v>164</v>
      </c>
      <c r="I16">
        <v>16</v>
      </c>
      <c r="J16">
        <v>17</v>
      </c>
      <c r="P16" t="s">
        <v>23</v>
      </c>
      <c r="Q16" t="s">
        <v>23</v>
      </c>
      <c r="S16" t="s">
        <v>180</v>
      </c>
    </row>
    <row r="17" spans="1:19" x14ac:dyDescent="0.2">
      <c r="A17" t="s">
        <v>166</v>
      </c>
      <c r="B17" t="s">
        <v>18</v>
      </c>
      <c r="C17" t="s">
        <v>46</v>
      </c>
      <c r="D17" s="5">
        <f>E17*(273.15/293.15)</f>
        <v>93.177554153163911</v>
      </c>
      <c r="E17">
        <v>100</v>
      </c>
      <c r="F17" t="s">
        <v>163</v>
      </c>
      <c r="G17" t="s">
        <v>165</v>
      </c>
      <c r="I17">
        <v>16</v>
      </c>
      <c r="J17">
        <v>18</v>
      </c>
      <c r="P17" t="s">
        <v>23</v>
      </c>
      <c r="Q17" t="s">
        <v>23</v>
      </c>
      <c r="S17" t="s">
        <v>180</v>
      </c>
    </row>
    <row r="18" spans="1:19" x14ac:dyDescent="0.2">
      <c r="A18" t="s">
        <v>167</v>
      </c>
      <c r="B18" t="s">
        <v>18</v>
      </c>
      <c r="C18" t="s">
        <v>27</v>
      </c>
      <c r="D18" s="5">
        <v>5</v>
      </c>
      <c r="F18" t="s">
        <v>168</v>
      </c>
      <c r="G18" t="s">
        <v>169</v>
      </c>
      <c r="I18">
        <v>16</v>
      </c>
      <c r="J18">
        <v>19</v>
      </c>
      <c r="P18" t="s">
        <v>23</v>
      </c>
      <c r="Q18" t="s">
        <v>23</v>
      </c>
    </row>
    <row r="19" spans="1:19" x14ac:dyDescent="0.2">
      <c r="A19" t="s">
        <v>170</v>
      </c>
      <c r="B19" t="s">
        <v>18</v>
      </c>
      <c r="C19" t="s">
        <v>27</v>
      </c>
      <c r="D19" s="5">
        <v>0.5</v>
      </c>
      <c r="F19" t="s">
        <v>171</v>
      </c>
      <c r="G19" t="s">
        <v>172</v>
      </c>
      <c r="I19">
        <v>16</v>
      </c>
      <c r="J19">
        <v>20</v>
      </c>
      <c r="P19" t="s">
        <v>23</v>
      </c>
      <c r="Q19" t="s">
        <v>23</v>
      </c>
    </row>
    <row r="20" spans="1:19" x14ac:dyDescent="0.2">
      <c r="A20" t="s">
        <v>175</v>
      </c>
      <c r="B20" t="s">
        <v>18</v>
      </c>
      <c r="C20" t="s">
        <v>32</v>
      </c>
      <c r="D20" s="5">
        <f>E20*(273.15/293.15)</f>
        <v>93.177554153163911</v>
      </c>
      <c r="E20">
        <v>100</v>
      </c>
      <c r="F20" t="s">
        <v>163</v>
      </c>
      <c r="G20" t="s">
        <v>176</v>
      </c>
      <c r="I20">
        <v>16</v>
      </c>
      <c r="J20">
        <v>21</v>
      </c>
      <c r="P20" t="s">
        <v>23</v>
      </c>
      <c r="Q20" t="s">
        <v>23</v>
      </c>
      <c r="S20" t="s">
        <v>180</v>
      </c>
    </row>
    <row r="21" spans="1:19" x14ac:dyDescent="0.2">
      <c r="A21" t="s">
        <v>173</v>
      </c>
      <c r="B21" t="s">
        <v>18</v>
      </c>
      <c r="C21" t="s">
        <v>46</v>
      </c>
      <c r="D21" s="5">
        <f>E21*(273.15/293.15)</f>
        <v>93.177554153163911</v>
      </c>
      <c r="E21">
        <v>100</v>
      </c>
      <c r="F21" t="s">
        <v>163</v>
      </c>
      <c r="G21" t="s">
        <v>174</v>
      </c>
      <c r="I21">
        <v>16</v>
      </c>
      <c r="J21">
        <v>22</v>
      </c>
      <c r="P21" t="s">
        <v>23</v>
      </c>
      <c r="Q21" t="s">
        <v>23</v>
      </c>
      <c r="S21" t="s">
        <v>180</v>
      </c>
    </row>
    <row r="22" spans="1:19" x14ac:dyDescent="0.2">
      <c r="A22" t="s">
        <v>182</v>
      </c>
      <c r="B22" t="s">
        <v>18</v>
      </c>
      <c r="C22" t="s">
        <v>41</v>
      </c>
      <c r="D22" s="5">
        <f t="shared" ref="D22:D25" si="0">E22*(273.15/293.15)</f>
        <v>93.177554153163911</v>
      </c>
      <c r="E22">
        <v>100</v>
      </c>
      <c r="F22" t="s">
        <v>163</v>
      </c>
      <c r="G22" t="s">
        <v>183</v>
      </c>
      <c r="I22">
        <v>16</v>
      </c>
      <c r="J22">
        <v>23</v>
      </c>
      <c r="P22" t="s">
        <v>23</v>
      </c>
      <c r="Q22" t="s">
        <v>23</v>
      </c>
      <c r="S22" t="s">
        <v>180</v>
      </c>
    </row>
    <row r="23" spans="1:19" x14ac:dyDescent="0.2">
      <c r="A23" t="s">
        <v>185</v>
      </c>
      <c r="B23" t="s">
        <v>18</v>
      </c>
      <c r="C23" t="s">
        <v>46</v>
      </c>
      <c r="D23" s="5">
        <f t="shared" si="0"/>
        <v>93.177554153163911</v>
      </c>
      <c r="E23">
        <v>100</v>
      </c>
      <c r="F23" t="s">
        <v>163</v>
      </c>
      <c r="G23" t="s">
        <v>184</v>
      </c>
      <c r="I23">
        <v>16</v>
      </c>
      <c r="J23">
        <v>24</v>
      </c>
      <c r="P23" t="s">
        <v>23</v>
      </c>
      <c r="Q23" t="s">
        <v>23</v>
      </c>
      <c r="S23" t="s">
        <v>180</v>
      </c>
    </row>
    <row r="24" spans="1:19" x14ac:dyDescent="0.2">
      <c r="A24" t="s">
        <v>186</v>
      </c>
      <c r="B24" t="s">
        <v>18</v>
      </c>
      <c r="C24" t="s">
        <v>32</v>
      </c>
      <c r="D24" s="5">
        <f t="shared" si="0"/>
        <v>465.88777076581954</v>
      </c>
      <c r="E24">
        <v>500</v>
      </c>
      <c r="F24" t="s">
        <v>187</v>
      </c>
      <c r="G24" t="s">
        <v>188</v>
      </c>
      <c r="I24">
        <v>16</v>
      </c>
      <c r="J24">
        <v>25</v>
      </c>
      <c r="P24" t="s">
        <v>23</v>
      </c>
      <c r="Q24" t="s">
        <v>23</v>
      </c>
      <c r="S24" t="s">
        <v>180</v>
      </c>
    </row>
    <row r="25" spans="1:19" x14ac:dyDescent="0.2">
      <c r="A25" s="6" t="s">
        <v>189</v>
      </c>
      <c r="B25" s="6" t="s">
        <v>18</v>
      </c>
      <c r="C25" s="6" t="s">
        <v>41</v>
      </c>
      <c r="D25" s="7">
        <f t="shared" si="0"/>
        <v>9.3177554153163911</v>
      </c>
      <c r="E25" s="6">
        <v>10</v>
      </c>
      <c r="F25" s="6" t="s">
        <v>190</v>
      </c>
      <c r="G25" s="6" t="s">
        <v>191</v>
      </c>
      <c r="I25">
        <v>0</v>
      </c>
      <c r="J25">
        <v>0</v>
      </c>
      <c r="P25" t="s">
        <v>23</v>
      </c>
      <c r="Q25" t="s">
        <v>23</v>
      </c>
      <c r="S25" t="s">
        <v>195</v>
      </c>
    </row>
    <row r="26" spans="1:19" x14ac:dyDescent="0.2">
      <c r="A26" t="s">
        <v>194</v>
      </c>
      <c r="B26" t="s">
        <v>18</v>
      </c>
      <c r="C26" t="s">
        <v>192</v>
      </c>
      <c r="D26" s="5">
        <f>E26*(273.15/293.15)</f>
        <v>4.6588777076581956E-3</v>
      </c>
      <c r="E26">
        <v>5.0000000000000001E-3</v>
      </c>
      <c r="F26" t="s">
        <v>208</v>
      </c>
      <c r="G26" t="s">
        <v>193</v>
      </c>
      <c r="I26">
        <v>16</v>
      </c>
      <c r="J26">
        <v>26</v>
      </c>
      <c r="P26" t="s">
        <v>23</v>
      </c>
      <c r="Q26" t="s">
        <v>23</v>
      </c>
      <c r="S26" t="s">
        <v>180</v>
      </c>
    </row>
    <row r="27" spans="1:19" x14ac:dyDescent="0.2">
      <c r="A27" t="s">
        <v>196</v>
      </c>
      <c r="B27" t="s">
        <v>18</v>
      </c>
      <c r="C27" t="s">
        <v>197</v>
      </c>
      <c r="D27" s="5">
        <v>20</v>
      </c>
      <c r="E27">
        <f>D27*(293.15/273.15)</f>
        <v>21.46439685154677</v>
      </c>
      <c r="F27" t="s">
        <v>198</v>
      </c>
      <c r="G27" t="s">
        <v>199</v>
      </c>
      <c r="I27">
        <v>16</v>
      </c>
      <c r="J27">
        <v>27</v>
      </c>
      <c r="P27" t="s">
        <v>23</v>
      </c>
      <c r="Q27" t="s">
        <v>23</v>
      </c>
      <c r="S27" t="s">
        <v>180</v>
      </c>
    </row>
    <row r="28" spans="1:19" x14ac:dyDescent="0.2">
      <c r="A28" t="s">
        <v>200</v>
      </c>
      <c r="B28" t="s">
        <v>18</v>
      </c>
      <c r="C28" t="s">
        <v>105</v>
      </c>
      <c r="D28" s="5">
        <v>20</v>
      </c>
      <c r="E28">
        <f>D28*(293.15/273.15)</f>
        <v>21.46439685154677</v>
      </c>
      <c r="F28" t="s">
        <v>203</v>
      </c>
      <c r="G28" t="s">
        <v>201</v>
      </c>
      <c r="I28">
        <v>16</v>
      </c>
      <c r="J28">
        <v>28</v>
      </c>
      <c r="P28" t="s">
        <v>23</v>
      </c>
      <c r="Q28" t="s">
        <v>23</v>
      </c>
      <c r="S28" t="s">
        <v>180</v>
      </c>
    </row>
    <row r="29" spans="1:19" x14ac:dyDescent="0.2">
      <c r="A29" t="s">
        <v>202</v>
      </c>
      <c r="B29" t="s">
        <v>18</v>
      </c>
      <c r="C29" t="s">
        <v>32</v>
      </c>
      <c r="D29" s="5">
        <v>50</v>
      </c>
      <c r="E29">
        <f>D29*(293.15/273.15)</f>
        <v>53.660992128866923</v>
      </c>
      <c r="F29" t="s">
        <v>203</v>
      </c>
      <c r="G29" t="s">
        <v>204</v>
      </c>
      <c r="I29">
        <v>16</v>
      </c>
      <c r="J29">
        <v>29</v>
      </c>
      <c r="P29" t="s">
        <v>23</v>
      </c>
      <c r="Q29" t="s">
        <v>23</v>
      </c>
      <c r="S29" t="s">
        <v>180</v>
      </c>
    </row>
    <row r="30" spans="1:19" x14ac:dyDescent="0.2">
      <c r="A30" t="s">
        <v>207</v>
      </c>
      <c r="B30" t="s">
        <v>18</v>
      </c>
      <c r="C30" t="s">
        <v>32</v>
      </c>
      <c r="D30" s="5">
        <f>E30*(273.15/293.15)</f>
        <v>1.3976633122974586E-2</v>
      </c>
      <c r="E30">
        <v>1.4999999999999999E-2</v>
      </c>
      <c r="F30" t="s">
        <v>205</v>
      </c>
      <c r="G30" t="s">
        <v>206</v>
      </c>
      <c r="I30">
        <v>16</v>
      </c>
      <c r="J30">
        <v>30</v>
      </c>
      <c r="P30" t="s">
        <v>23</v>
      </c>
      <c r="Q30" t="s">
        <v>23</v>
      </c>
      <c r="S30" t="s">
        <v>180</v>
      </c>
    </row>
    <row r="31" spans="1:19" x14ac:dyDescent="0.2">
      <c r="A31" t="s">
        <v>209</v>
      </c>
      <c r="B31" t="s">
        <v>18</v>
      </c>
      <c r="C31" t="s">
        <v>65</v>
      </c>
      <c r="D31" s="5">
        <f>E31*(273.15/293.15)</f>
        <v>1.8635510830632782</v>
      </c>
      <c r="E31">
        <v>2</v>
      </c>
      <c r="F31" t="s">
        <v>210</v>
      </c>
      <c r="G31" t="s">
        <v>211</v>
      </c>
      <c r="S31" t="s">
        <v>180</v>
      </c>
    </row>
    <row r="32" spans="1:19" x14ac:dyDescent="0.2">
      <c r="A32" t="s">
        <v>76</v>
      </c>
      <c r="B32" t="s">
        <v>77</v>
      </c>
      <c r="C32" t="s">
        <v>78</v>
      </c>
      <c r="D32">
        <v>50</v>
      </c>
      <c r="F32" t="s">
        <v>79</v>
      </c>
      <c r="G32" s="1">
        <v>110000000000000</v>
      </c>
      <c r="H32">
        <v>10666001</v>
      </c>
      <c r="I32">
        <v>20</v>
      </c>
      <c r="K32">
        <v>1</v>
      </c>
      <c r="L32">
        <v>4</v>
      </c>
      <c r="M32">
        <v>41</v>
      </c>
      <c r="N32">
        <v>50</v>
      </c>
      <c r="O32">
        <v>38400</v>
      </c>
      <c r="P32" t="s">
        <v>23</v>
      </c>
      <c r="Q32" t="s">
        <v>23</v>
      </c>
      <c r="R32" t="s">
        <v>80</v>
      </c>
      <c r="S32" t="s">
        <v>25</v>
      </c>
    </row>
    <row r="33" spans="1:19" x14ac:dyDescent="0.2">
      <c r="A33" t="s">
        <v>81</v>
      </c>
      <c r="B33" t="s">
        <v>77</v>
      </c>
      <c r="C33" t="s">
        <v>32</v>
      </c>
      <c r="D33">
        <v>60</v>
      </c>
      <c r="F33" t="s">
        <v>82</v>
      </c>
      <c r="G33" s="1">
        <v>105000000000000</v>
      </c>
      <c r="H33">
        <v>92363001</v>
      </c>
      <c r="I33">
        <v>20</v>
      </c>
      <c r="R33" t="s">
        <v>83</v>
      </c>
      <c r="S33" t="s">
        <v>25</v>
      </c>
    </row>
    <row r="34" spans="1:19" x14ac:dyDescent="0.2">
      <c r="A34" t="s">
        <v>84</v>
      </c>
      <c r="B34" t="s">
        <v>77</v>
      </c>
      <c r="C34" t="s">
        <v>32</v>
      </c>
      <c r="D34">
        <v>2</v>
      </c>
      <c r="F34" t="s">
        <v>85</v>
      </c>
      <c r="G34" s="1">
        <v>106000000000000</v>
      </c>
      <c r="H34">
        <v>16101002</v>
      </c>
      <c r="I34">
        <v>20</v>
      </c>
      <c r="K34" t="s">
        <v>86</v>
      </c>
      <c r="R34" t="s">
        <v>83</v>
      </c>
      <c r="S34" t="s">
        <v>25</v>
      </c>
    </row>
    <row r="35" spans="1:19" x14ac:dyDescent="0.2">
      <c r="A35" t="s">
        <v>87</v>
      </c>
      <c r="B35" t="s">
        <v>77</v>
      </c>
      <c r="C35" t="s">
        <v>78</v>
      </c>
      <c r="D35">
        <v>20</v>
      </c>
      <c r="F35" t="s">
        <v>82</v>
      </c>
      <c r="G35" s="1">
        <v>106000000000000</v>
      </c>
      <c r="H35">
        <v>18105001</v>
      </c>
      <c r="I35">
        <v>20</v>
      </c>
      <c r="R35" t="s">
        <v>83</v>
      </c>
      <c r="S35" t="s">
        <v>25</v>
      </c>
    </row>
    <row r="36" spans="1:19" x14ac:dyDescent="0.2">
      <c r="A36" t="s">
        <v>88</v>
      </c>
      <c r="B36" t="s">
        <v>77</v>
      </c>
      <c r="C36" t="s">
        <v>41</v>
      </c>
      <c r="D36">
        <v>20</v>
      </c>
      <c r="F36" t="s">
        <v>85</v>
      </c>
      <c r="G36" s="1">
        <v>106000000000000</v>
      </c>
      <c r="H36">
        <v>18157001</v>
      </c>
      <c r="I36">
        <v>20</v>
      </c>
      <c r="R36" t="s">
        <v>83</v>
      </c>
      <c r="S36" t="s">
        <v>25</v>
      </c>
    </row>
    <row r="37" spans="1:19" x14ac:dyDescent="0.2">
      <c r="A37" t="s">
        <v>89</v>
      </c>
      <c r="B37" t="s">
        <v>77</v>
      </c>
      <c r="C37" t="s">
        <v>46</v>
      </c>
      <c r="D37">
        <v>0.5</v>
      </c>
      <c r="F37" t="s">
        <v>90</v>
      </c>
      <c r="G37" t="s">
        <v>91</v>
      </c>
      <c r="H37">
        <v>20350472</v>
      </c>
      <c r="I37">
        <v>20</v>
      </c>
      <c r="K37">
        <v>199</v>
      </c>
      <c r="L37">
        <v>255</v>
      </c>
      <c r="M37">
        <v>222</v>
      </c>
      <c r="N37">
        <v>50</v>
      </c>
      <c r="O37">
        <v>19200</v>
      </c>
      <c r="P37" t="s">
        <v>23</v>
      </c>
      <c r="Q37" t="s">
        <v>23</v>
      </c>
      <c r="R37" t="s">
        <v>92</v>
      </c>
      <c r="S37" t="s">
        <v>93</v>
      </c>
    </row>
    <row r="38" spans="1:19" x14ac:dyDescent="0.2">
      <c r="A38" t="s">
        <v>94</v>
      </c>
      <c r="B38" t="s">
        <v>77</v>
      </c>
      <c r="C38" t="s">
        <v>46</v>
      </c>
      <c r="D38">
        <v>5</v>
      </c>
      <c r="F38" t="s">
        <v>85</v>
      </c>
      <c r="G38" s="1">
        <v>107000000000000</v>
      </c>
      <c r="H38">
        <v>31537001</v>
      </c>
      <c r="I38">
        <v>20</v>
      </c>
      <c r="K38" t="s">
        <v>86</v>
      </c>
      <c r="R38" t="s">
        <v>83</v>
      </c>
      <c r="S38" t="s">
        <v>25</v>
      </c>
    </row>
    <row r="39" spans="1:19" x14ac:dyDescent="0.2">
      <c r="A39" t="s">
        <v>95</v>
      </c>
      <c r="B39" t="s">
        <v>77</v>
      </c>
      <c r="C39" t="s">
        <v>41</v>
      </c>
      <c r="D39">
        <v>200</v>
      </c>
      <c r="F39" t="s">
        <v>96</v>
      </c>
      <c r="G39" s="1">
        <v>108000000000000</v>
      </c>
      <c r="H39">
        <v>57720003</v>
      </c>
      <c r="I39">
        <v>20</v>
      </c>
      <c r="K39" t="s">
        <v>86</v>
      </c>
      <c r="R39" t="s">
        <v>97</v>
      </c>
      <c r="S39" t="s">
        <v>98</v>
      </c>
    </row>
    <row r="40" spans="1:19" x14ac:dyDescent="0.2">
      <c r="A40" t="s">
        <v>99</v>
      </c>
      <c r="B40" t="s">
        <v>77</v>
      </c>
      <c r="C40" t="s">
        <v>46</v>
      </c>
      <c r="D40">
        <v>1000</v>
      </c>
      <c r="F40" t="s">
        <v>90</v>
      </c>
      <c r="G40" s="1">
        <v>111000000000000</v>
      </c>
      <c r="H40">
        <v>70021001</v>
      </c>
      <c r="I40">
        <v>20</v>
      </c>
      <c r="K40" t="s">
        <v>86</v>
      </c>
      <c r="R40" t="s">
        <v>92</v>
      </c>
      <c r="S40" t="s">
        <v>25</v>
      </c>
    </row>
    <row r="41" spans="1:19" x14ac:dyDescent="0.2">
      <c r="A41" s="10" t="s">
        <v>100</v>
      </c>
      <c r="B41" s="10" t="s">
        <v>77</v>
      </c>
      <c r="C41" s="10" t="s">
        <v>46</v>
      </c>
      <c r="D41" s="10">
        <v>0.86</v>
      </c>
      <c r="E41" s="10"/>
      <c r="F41" s="10" t="s">
        <v>101</v>
      </c>
      <c r="G41" s="10" t="s">
        <v>102</v>
      </c>
      <c r="H41" s="10">
        <v>1701001</v>
      </c>
      <c r="I41" s="10">
        <v>20</v>
      </c>
      <c r="J41" s="10"/>
      <c r="K41" s="10">
        <v>25</v>
      </c>
      <c r="L41" s="10">
        <v>244</v>
      </c>
      <c r="M41" s="10">
        <v>137</v>
      </c>
      <c r="N41" s="10">
        <v>90</v>
      </c>
      <c r="O41" s="10">
        <v>19200</v>
      </c>
      <c r="P41" s="10" t="s">
        <v>103</v>
      </c>
      <c r="Q41" s="10" t="s">
        <v>23</v>
      </c>
      <c r="R41" s="10" t="s">
        <v>24</v>
      </c>
      <c r="S41" s="10" t="s">
        <v>25</v>
      </c>
    </row>
    <row r="42" spans="1:19" x14ac:dyDescent="0.2">
      <c r="A42" t="s">
        <v>104</v>
      </c>
      <c r="B42" t="s">
        <v>77</v>
      </c>
      <c r="C42" t="s">
        <v>105</v>
      </c>
      <c r="D42">
        <v>5</v>
      </c>
      <c r="F42" t="s">
        <v>106</v>
      </c>
      <c r="G42" t="s">
        <v>107</v>
      </c>
      <c r="H42">
        <v>30501347</v>
      </c>
      <c r="I42">
        <v>20</v>
      </c>
      <c r="R42" t="s">
        <v>24</v>
      </c>
      <c r="S42" t="s">
        <v>25</v>
      </c>
    </row>
    <row r="43" spans="1:19" x14ac:dyDescent="0.2">
      <c r="A43" t="s">
        <v>108</v>
      </c>
      <c r="B43" t="s">
        <v>77</v>
      </c>
      <c r="C43" t="s">
        <v>41</v>
      </c>
      <c r="D43">
        <v>300</v>
      </c>
      <c r="F43" t="s">
        <v>109</v>
      </c>
      <c r="G43" t="s">
        <v>110</v>
      </c>
      <c r="H43">
        <v>62700560</v>
      </c>
      <c r="I43">
        <v>20</v>
      </c>
      <c r="R43" t="s">
        <v>24</v>
      </c>
      <c r="S43" t="s">
        <v>111</v>
      </c>
    </row>
    <row r="44" spans="1:19" x14ac:dyDescent="0.2">
      <c r="A44" t="s">
        <v>112</v>
      </c>
      <c r="B44" t="s">
        <v>77</v>
      </c>
      <c r="C44" t="s">
        <v>27</v>
      </c>
      <c r="D44">
        <v>10</v>
      </c>
      <c r="F44" t="s">
        <v>79</v>
      </c>
      <c r="G44" s="1">
        <v>110000000000000</v>
      </c>
      <c r="H44">
        <v>10666003</v>
      </c>
      <c r="I44">
        <v>20</v>
      </c>
      <c r="K44">
        <v>16</v>
      </c>
      <c r="L44">
        <v>70</v>
      </c>
      <c r="M44">
        <v>107</v>
      </c>
      <c r="N44">
        <v>50</v>
      </c>
      <c r="O44">
        <v>19200</v>
      </c>
      <c r="P44" t="s">
        <v>23</v>
      </c>
      <c r="Q44" t="s">
        <v>23</v>
      </c>
      <c r="R44" t="s">
        <v>80</v>
      </c>
      <c r="S44" t="s">
        <v>25</v>
      </c>
    </row>
    <row r="45" spans="1:19" x14ac:dyDescent="0.2">
      <c r="A45" t="s">
        <v>113</v>
      </c>
      <c r="B45" t="s">
        <v>77</v>
      </c>
      <c r="C45" t="s">
        <v>65</v>
      </c>
      <c r="D45">
        <v>20</v>
      </c>
      <c r="F45" t="s">
        <v>79</v>
      </c>
      <c r="G45" s="1">
        <v>110000000000000</v>
      </c>
      <c r="H45">
        <v>10666002</v>
      </c>
      <c r="I45">
        <v>20</v>
      </c>
      <c r="K45">
        <v>16</v>
      </c>
      <c r="L45">
        <v>70</v>
      </c>
      <c r="M45">
        <v>106</v>
      </c>
      <c r="N45">
        <v>50</v>
      </c>
      <c r="O45">
        <v>19200</v>
      </c>
      <c r="P45" t="s">
        <v>23</v>
      </c>
      <c r="Q45" t="s">
        <v>23</v>
      </c>
      <c r="R45" t="s">
        <v>80</v>
      </c>
      <c r="S45" t="s">
        <v>25</v>
      </c>
    </row>
    <row r="46" spans="1:19" x14ac:dyDescent="0.2">
      <c r="A46" s="10" t="s">
        <v>114</v>
      </c>
      <c r="B46" s="10" t="s">
        <v>77</v>
      </c>
      <c r="C46" s="10" t="s">
        <v>32</v>
      </c>
      <c r="D46" s="10">
        <v>10</v>
      </c>
      <c r="E46" s="10"/>
      <c r="F46" s="10" t="s">
        <v>115</v>
      </c>
      <c r="G46" s="11">
        <v>111000000000000</v>
      </c>
      <c r="H46" s="10">
        <v>70030001</v>
      </c>
      <c r="I46" s="10">
        <v>20</v>
      </c>
      <c r="J46" s="10"/>
      <c r="K46" s="10">
        <v>106</v>
      </c>
      <c r="L46" s="10">
        <v>219</v>
      </c>
      <c r="M46" s="10">
        <v>121</v>
      </c>
      <c r="N46" s="10">
        <v>50</v>
      </c>
      <c r="O46" s="10">
        <v>19200</v>
      </c>
      <c r="P46" s="10" t="s">
        <v>23</v>
      </c>
      <c r="Q46" s="10" t="s">
        <v>23</v>
      </c>
      <c r="R46" s="10" t="s">
        <v>80</v>
      </c>
      <c r="S46" s="10" t="s">
        <v>25</v>
      </c>
    </row>
    <row r="47" spans="1:19" x14ac:dyDescent="0.2">
      <c r="A47" s="10" t="s">
        <v>116</v>
      </c>
      <c r="B47" s="10" t="s">
        <v>77</v>
      </c>
      <c r="C47" s="10" t="s">
        <v>41</v>
      </c>
      <c r="D47" s="10">
        <v>2</v>
      </c>
      <c r="E47" s="10"/>
      <c r="F47" s="10" t="s">
        <v>85</v>
      </c>
      <c r="G47" s="11">
        <v>107000000000000</v>
      </c>
      <c r="H47" s="10">
        <v>41313001</v>
      </c>
      <c r="I47" s="10">
        <v>20</v>
      </c>
      <c r="J47" s="10"/>
      <c r="K47" s="10">
        <v>63</v>
      </c>
      <c r="L47" s="10">
        <v>9</v>
      </c>
      <c r="M47" s="10">
        <v>229</v>
      </c>
      <c r="N47" s="10">
        <v>50</v>
      </c>
      <c r="O47" s="10">
        <v>19200</v>
      </c>
      <c r="P47" s="10" t="s">
        <v>103</v>
      </c>
      <c r="Q47" s="10" t="s">
        <v>23</v>
      </c>
      <c r="R47" s="10" t="s">
        <v>80</v>
      </c>
      <c r="S47" s="10" t="s">
        <v>25</v>
      </c>
    </row>
    <row r="48" spans="1:19" x14ac:dyDescent="0.2">
      <c r="A48" t="s">
        <v>117</v>
      </c>
      <c r="B48" t="s">
        <v>77</v>
      </c>
      <c r="C48" t="s">
        <v>118</v>
      </c>
      <c r="D48">
        <v>40</v>
      </c>
      <c r="F48" t="s">
        <v>119</v>
      </c>
      <c r="G48" s="1">
        <v>110000000000000</v>
      </c>
      <c r="H48">
        <v>10665001</v>
      </c>
      <c r="I48">
        <v>20</v>
      </c>
      <c r="K48">
        <v>16</v>
      </c>
      <c r="L48">
        <v>70</v>
      </c>
      <c r="M48">
        <v>5</v>
      </c>
      <c r="N48">
        <v>50</v>
      </c>
      <c r="O48">
        <v>19200</v>
      </c>
      <c r="P48" t="s">
        <v>23</v>
      </c>
      <c r="Q48" t="s">
        <v>23</v>
      </c>
      <c r="S48" t="s">
        <v>25</v>
      </c>
    </row>
    <row r="49" spans="1:19" x14ac:dyDescent="0.2">
      <c r="A49" t="s">
        <v>120</v>
      </c>
      <c r="B49" t="s">
        <v>77</v>
      </c>
      <c r="C49" t="s">
        <v>32</v>
      </c>
      <c r="D49">
        <v>400</v>
      </c>
      <c r="F49" t="s">
        <v>121</v>
      </c>
      <c r="G49" s="1">
        <v>108000000000000</v>
      </c>
      <c r="H49">
        <v>57720005</v>
      </c>
      <c r="I49">
        <v>20</v>
      </c>
      <c r="K49">
        <v>88</v>
      </c>
      <c r="L49">
        <v>18</v>
      </c>
      <c r="M49">
        <v>229</v>
      </c>
      <c r="N49">
        <v>53</v>
      </c>
      <c r="O49">
        <v>19200</v>
      </c>
      <c r="P49" t="s">
        <v>122</v>
      </c>
      <c r="Q49" t="s">
        <v>23</v>
      </c>
      <c r="R49" t="s">
        <v>80</v>
      </c>
      <c r="S49" t="s">
        <v>25</v>
      </c>
    </row>
    <row r="50" spans="1:19" x14ac:dyDescent="0.2">
      <c r="A50" s="10" t="s">
        <v>123</v>
      </c>
      <c r="B50" s="10" t="s">
        <v>77</v>
      </c>
      <c r="C50" s="10" t="s">
        <v>46</v>
      </c>
      <c r="D50" s="10">
        <v>16</v>
      </c>
      <c r="E50" s="10"/>
      <c r="F50" s="10" t="s">
        <v>85</v>
      </c>
      <c r="G50" s="10" t="s">
        <v>124</v>
      </c>
      <c r="H50" s="10">
        <v>65953001</v>
      </c>
      <c r="I50" s="10">
        <v>20</v>
      </c>
      <c r="J50" s="10"/>
      <c r="K50" s="10">
        <v>100</v>
      </c>
      <c r="L50" s="10">
        <v>162</v>
      </c>
      <c r="M50" s="10">
        <v>229</v>
      </c>
      <c r="N50" s="10">
        <v>50</v>
      </c>
      <c r="O50" s="10">
        <v>19200</v>
      </c>
      <c r="P50" s="10" t="s">
        <v>122</v>
      </c>
      <c r="Q50" s="10" t="s">
        <v>23</v>
      </c>
      <c r="R50" s="10" t="s">
        <v>80</v>
      </c>
      <c r="S50" s="10" t="s">
        <v>25</v>
      </c>
    </row>
    <row r="51" spans="1:19" x14ac:dyDescent="0.2">
      <c r="A51" t="s">
        <v>125</v>
      </c>
      <c r="B51" t="s">
        <v>77</v>
      </c>
      <c r="C51" t="s">
        <v>65</v>
      </c>
      <c r="D51">
        <v>50</v>
      </c>
      <c r="F51" t="s">
        <v>126</v>
      </c>
      <c r="G51" t="s">
        <v>127</v>
      </c>
      <c r="H51">
        <v>18109001</v>
      </c>
      <c r="I51">
        <v>20</v>
      </c>
      <c r="K51">
        <v>27</v>
      </c>
      <c r="L51">
        <v>161</v>
      </c>
      <c r="M51">
        <v>213</v>
      </c>
      <c r="N51">
        <v>51</v>
      </c>
      <c r="O51">
        <v>19200</v>
      </c>
      <c r="P51" t="s">
        <v>122</v>
      </c>
      <c r="Q51" t="s">
        <v>23</v>
      </c>
      <c r="R51" t="s">
        <v>80</v>
      </c>
      <c r="S51" t="s">
        <v>25</v>
      </c>
    </row>
    <row r="52" spans="1:19" x14ac:dyDescent="0.2">
      <c r="A52" s="10" t="s">
        <v>128</v>
      </c>
      <c r="B52" s="10" t="s">
        <v>77</v>
      </c>
      <c r="C52" s="10" t="s">
        <v>41</v>
      </c>
      <c r="D52" s="10">
        <v>20</v>
      </c>
      <c r="E52" s="10"/>
      <c r="F52" s="10" t="s">
        <v>82</v>
      </c>
      <c r="G52" s="11">
        <v>106000000000000</v>
      </c>
      <c r="H52" s="10">
        <v>18106001</v>
      </c>
      <c r="I52" s="10">
        <v>20</v>
      </c>
      <c r="J52" s="10"/>
      <c r="K52" s="10">
        <v>27</v>
      </c>
      <c r="L52" s="10">
        <v>160</v>
      </c>
      <c r="M52" s="10">
        <v>169</v>
      </c>
      <c r="N52" s="10">
        <v>51</v>
      </c>
      <c r="O52" s="10">
        <v>19200</v>
      </c>
      <c r="P52" s="10" t="s">
        <v>122</v>
      </c>
      <c r="Q52" s="10" t="s">
        <v>23</v>
      </c>
      <c r="R52" s="10" t="s">
        <v>80</v>
      </c>
      <c r="S52" s="10" t="s">
        <v>25</v>
      </c>
    </row>
    <row r="53" spans="1:19" x14ac:dyDescent="0.2">
      <c r="A53" t="s">
        <v>129</v>
      </c>
      <c r="B53" t="s">
        <v>77</v>
      </c>
      <c r="C53" t="s">
        <v>41</v>
      </c>
      <c r="D53">
        <v>200</v>
      </c>
      <c r="F53" t="s">
        <v>130</v>
      </c>
      <c r="G53" s="1">
        <v>80100000000000</v>
      </c>
      <c r="H53">
        <v>57720003</v>
      </c>
      <c r="I53">
        <v>20</v>
      </c>
      <c r="K53">
        <v>88</v>
      </c>
      <c r="L53">
        <v>18</v>
      </c>
      <c r="M53">
        <v>227</v>
      </c>
      <c r="N53">
        <v>53</v>
      </c>
      <c r="O53">
        <v>19200</v>
      </c>
      <c r="P53" t="s">
        <v>122</v>
      </c>
      <c r="Q53" t="s">
        <v>23</v>
      </c>
      <c r="S53" t="s">
        <v>25</v>
      </c>
    </row>
    <row r="54" spans="1:19" x14ac:dyDescent="0.2">
      <c r="A54" t="s">
        <v>131</v>
      </c>
      <c r="B54" t="s">
        <v>77</v>
      </c>
      <c r="C54" t="s">
        <v>41</v>
      </c>
      <c r="D54">
        <v>200</v>
      </c>
      <c r="F54" t="s">
        <v>96</v>
      </c>
      <c r="G54" s="1">
        <v>108000000000000</v>
      </c>
      <c r="H54">
        <v>57720004</v>
      </c>
      <c r="I54">
        <v>20</v>
      </c>
      <c r="R54" t="s">
        <v>97</v>
      </c>
      <c r="S54" t="s">
        <v>25</v>
      </c>
    </row>
    <row r="55" spans="1:19" x14ac:dyDescent="0.2">
      <c r="A55" t="s">
        <v>132</v>
      </c>
      <c r="B55" t="s">
        <v>77</v>
      </c>
      <c r="C55" t="s">
        <v>118</v>
      </c>
      <c r="D55">
        <v>40</v>
      </c>
      <c r="F55" t="s">
        <v>119</v>
      </c>
      <c r="G55" s="1">
        <v>110000000000000</v>
      </c>
      <c r="H55">
        <v>10665002</v>
      </c>
      <c r="I55">
        <v>20</v>
      </c>
      <c r="K55">
        <v>16</v>
      </c>
      <c r="L55">
        <v>70</v>
      </c>
      <c r="M55">
        <v>6</v>
      </c>
      <c r="N55">
        <v>50</v>
      </c>
      <c r="O55">
        <v>19200</v>
      </c>
      <c r="P55" t="s">
        <v>23</v>
      </c>
      <c r="Q55" t="s">
        <v>23</v>
      </c>
      <c r="R55" t="s">
        <v>133</v>
      </c>
      <c r="S55" t="s">
        <v>25</v>
      </c>
    </row>
    <row r="56" spans="1:19" x14ac:dyDescent="0.2">
      <c r="A56" t="s">
        <v>134</v>
      </c>
      <c r="B56" t="s">
        <v>77</v>
      </c>
      <c r="C56" t="s">
        <v>118</v>
      </c>
      <c r="D56">
        <v>200</v>
      </c>
      <c r="F56" t="s">
        <v>135</v>
      </c>
      <c r="G56" s="1">
        <v>111000000000000</v>
      </c>
      <c r="H56">
        <v>54952002</v>
      </c>
      <c r="I56">
        <v>20</v>
      </c>
      <c r="K56" t="s">
        <v>86</v>
      </c>
      <c r="R56" t="s">
        <v>97</v>
      </c>
      <c r="S56" t="s">
        <v>25</v>
      </c>
    </row>
    <row r="57" spans="1:19" x14ac:dyDescent="0.2">
      <c r="A57" t="s">
        <v>136</v>
      </c>
      <c r="B57" t="s">
        <v>77</v>
      </c>
      <c r="C57" t="s">
        <v>118</v>
      </c>
      <c r="D57">
        <v>200</v>
      </c>
      <c r="F57" t="s">
        <v>135</v>
      </c>
      <c r="G57" s="1">
        <v>111000000000000</v>
      </c>
      <c r="H57">
        <v>54952001</v>
      </c>
      <c r="I57">
        <v>20</v>
      </c>
      <c r="K57">
        <v>83</v>
      </c>
      <c r="L57">
        <v>217</v>
      </c>
      <c r="M57">
        <v>161</v>
      </c>
      <c r="N57">
        <v>50</v>
      </c>
      <c r="O57">
        <v>19200</v>
      </c>
      <c r="P57" t="s">
        <v>122</v>
      </c>
      <c r="Q57" t="s">
        <v>23</v>
      </c>
      <c r="R57" t="s">
        <v>97</v>
      </c>
      <c r="S57" t="s">
        <v>25</v>
      </c>
    </row>
    <row r="58" spans="1:19" x14ac:dyDescent="0.2">
      <c r="A58" t="s">
        <v>137</v>
      </c>
      <c r="B58" t="s">
        <v>77</v>
      </c>
      <c r="C58" t="s">
        <v>19</v>
      </c>
      <c r="D58">
        <v>25</v>
      </c>
      <c r="F58" t="s">
        <v>79</v>
      </c>
      <c r="G58" s="1">
        <v>110000000000000</v>
      </c>
      <c r="H58">
        <v>10666004</v>
      </c>
      <c r="I58">
        <v>20</v>
      </c>
      <c r="K58">
        <v>16</v>
      </c>
      <c r="L58">
        <v>70</v>
      </c>
      <c r="M58">
        <v>108</v>
      </c>
      <c r="N58">
        <v>50</v>
      </c>
      <c r="O58">
        <v>38400</v>
      </c>
      <c r="P58" t="s">
        <v>23</v>
      </c>
      <c r="Q58" t="s">
        <v>23</v>
      </c>
      <c r="R58" t="s">
        <v>80</v>
      </c>
      <c r="S58" t="s">
        <v>25</v>
      </c>
    </row>
    <row r="59" spans="1:19" x14ac:dyDescent="0.2">
      <c r="A59" t="s">
        <v>138</v>
      </c>
      <c r="B59" t="s">
        <v>77</v>
      </c>
      <c r="C59" t="s">
        <v>46</v>
      </c>
      <c r="D59">
        <v>70</v>
      </c>
      <c r="F59" t="s">
        <v>119</v>
      </c>
      <c r="G59" s="1">
        <v>110000000000000</v>
      </c>
      <c r="H59">
        <v>10664001</v>
      </c>
      <c r="I59">
        <v>20</v>
      </c>
      <c r="K59">
        <v>16</v>
      </c>
      <c r="L59">
        <v>69</v>
      </c>
      <c r="M59">
        <v>161</v>
      </c>
      <c r="N59">
        <v>50</v>
      </c>
      <c r="O59">
        <v>19200</v>
      </c>
      <c r="P59" t="s">
        <v>23</v>
      </c>
      <c r="Q59" t="s">
        <v>23</v>
      </c>
      <c r="R59" t="s">
        <v>97</v>
      </c>
      <c r="S59" t="s">
        <v>25</v>
      </c>
    </row>
    <row r="60" spans="1:19" x14ac:dyDescent="0.2">
      <c r="A60" t="s">
        <v>139</v>
      </c>
      <c r="B60" t="s">
        <v>77</v>
      </c>
      <c r="C60" t="s">
        <v>41</v>
      </c>
      <c r="D60">
        <v>100</v>
      </c>
      <c r="F60" t="s">
        <v>82</v>
      </c>
      <c r="G60" s="1">
        <v>106000000000000</v>
      </c>
      <c r="H60">
        <v>18108001</v>
      </c>
      <c r="I60">
        <v>20</v>
      </c>
      <c r="K60">
        <v>27</v>
      </c>
      <c r="L60">
        <v>161</v>
      </c>
      <c r="M60">
        <v>113</v>
      </c>
      <c r="N60">
        <v>51</v>
      </c>
      <c r="O60">
        <v>19200</v>
      </c>
      <c r="P60" t="s">
        <v>122</v>
      </c>
      <c r="Q60" t="s">
        <v>23</v>
      </c>
      <c r="R60" t="s">
        <v>92</v>
      </c>
      <c r="S60" t="s">
        <v>25</v>
      </c>
    </row>
    <row r="61" spans="1:19" x14ac:dyDescent="0.2">
      <c r="A61" t="s">
        <v>140</v>
      </c>
      <c r="B61" t="s">
        <v>77</v>
      </c>
      <c r="C61" t="s">
        <v>41</v>
      </c>
      <c r="D61">
        <v>300</v>
      </c>
      <c r="F61" t="s">
        <v>141</v>
      </c>
      <c r="G61" t="s">
        <v>110</v>
      </c>
      <c r="H61">
        <v>62700560</v>
      </c>
      <c r="I61">
        <v>20</v>
      </c>
      <c r="K61">
        <v>188</v>
      </c>
      <c r="L61">
        <v>188</v>
      </c>
      <c r="M61">
        <v>16</v>
      </c>
      <c r="N61">
        <v>100</v>
      </c>
      <c r="O61">
        <v>19200</v>
      </c>
      <c r="P61" t="s">
        <v>103</v>
      </c>
      <c r="Q61" t="s">
        <v>23</v>
      </c>
      <c r="S61" t="s">
        <v>142</v>
      </c>
    </row>
    <row r="62" spans="1:19" x14ac:dyDescent="0.2">
      <c r="A62" t="s">
        <v>143</v>
      </c>
      <c r="B62" t="s">
        <v>77</v>
      </c>
      <c r="C62" t="s">
        <v>46</v>
      </c>
      <c r="D62">
        <v>70</v>
      </c>
      <c r="F62" t="s">
        <v>144</v>
      </c>
      <c r="G62" s="1">
        <v>110000000000000</v>
      </c>
      <c r="H62">
        <v>10664002</v>
      </c>
      <c r="I62">
        <v>20</v>
      </c>
      <c r="K62">
        <v>142</v>
      </c>
      <c r="L62">
        <v>19</v>
      </c>
      <c r="M62">
        <v>125</v>
      </c>
      <c r="N62">
        <v>50</v>
      </c>
      <c r="O62">
        <v>19200</v>
      </c>
      <c r="P62" t="s">
        <v>23</v>
      </c>
      <c r="Q62" t="s">
        <v>23</v>
      </c>
      <c r="R62" t="s">
        <v>80</v>
      </c>
      <c r="S62" t="s">
        <v>25</v>
      </c>
    </row>
    <row r="63" spans="1:19" x14ac:dyDescent="0.2">
      <c r="A63" t="s">
        <v>145</v>
      </c>
      <c r="B63" t="s">
        <v>77</v>
      </c>
      <c r="C63" t="s">
        <v>27</v>
      </c>
      <c r="D63">
        <v>3</v>
      </c>
      <c r="F63" t="s">
        <v>146</v>
      </c>
      <c r="G63" s="1">
        <v>109000000000000</v>
      </c>
      <c r="H63">
        <v>93111001</v>
      </c>
      <c r="I63">
        <v>20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C37" sqref="C37"/>
    </sheetView>
  </sheetViews>
  <sheetFormatPr baseColWidth="10" defaultColWidth="8.83203125" defaultRowHeight="15" x14ac:dyDescent="0.2"/>
  <cols>
    <col min="5" max="5" width="17" bestFit="1" customWidth="1"/>
    <col min="9" max="9" width="13.1640625" bestFit="1" customWidth="1"/>
  </cols>
  <sheetData>
    <row r="1" spans="1:10" x14ac:dyDescent="0.2">
      <c r="A1" s="2" t="s">
        <v>41</v>
      </c>
      <c r="B1" s="3">
        <v>0.998</v>
      </c>
    </row>
    <row r="2" spans="1:10" x14ac:dyDescent="0.2">
      <c r="A2" s="2" t="s">
        <v>150</v>
      </c>
      <c r="B2" s="3">
        <v>0.61499999999999999</v>
      </c>
      <c r="E2" t="s">
        <v>158</v>
      </c>
      <c r="F2" t="s">
        <v>147</v>
      </c>
      <c r="G2" s="12" t="s">
        <v>161</v>
      </c>
      <c r="H2">
        <v>3</v>
      </c>
      <c r="I2" t="str">
        <f>CONCATENATE(F2," [SLPM]")</f>
        <v>CH4 [SLPM]</v>
      </c>
    </row>
    <row r="3" spans="1:10" x14ac:dyDescent="0.2">
      <c r="A3" s="2" t="s">
        <v>149</v>
      </c>
      <c r="B3" s="3">
        <v>0.61899999999999999</v>
      </c>
      <c r="E3" t="s">
        <v>159</v>
      </c>
      <c r="F3" t="s">
        <v>148</v>
      </c>
      <c r="G3" s="12"/>
      <c r="H3">
        <f>H2*F4</f>
        <v>1.9266055045871557</v>
      </c>
      <c r="I3" t="str">
        <f>CONCATENATE(F3," [SLPM]")</f>
        <v>C2H6 [SLPM]</v>
      </c>
    </row>
    <row r="4" spans="1:10" x14ac:dyDescent="0.2">
      <c r="A4" s="2" t="s">
        <v>148</v>
      </c>
      <c r="B4" s="4">
        <v>0.49</v>
      </c>
      <c r="E4" t="s">
        <v>160</v>
      </c>
      <c r="F4">
        <f>LOOKUP(F3,A1:B12)/LOOKUP(F2,A1:B12)</f>
        <v>0.64220183486238525</v>
      </c>
      <c r="G4" s="12"/>
    </row>
    <row r="5" spans="1:10" x14ac:dyDescent="0.2">
      <c r="A5" s="2" t="s">
        <v>151</v>
      </c>
      <c r="B5" s="3">
        <v>0.34300000000000003</v>
      </c>
    </row>
    <row r="6" spans="1:10" x14ac:dyDescent="0.2">
      <c r="A6" s="2" t="s">
        <v>152</v>
      </c>
      <c r="B6" s="3">
        <v>0.25700000000000001</v>
      </c>
    </row>
    <row r="7" spans="1:10" x14ac:dyDescent="0.2">
      <c r="A7" s="2" t="s">
        <v>147</v>
      </c>
      <c r="B7" s="3">
        <v>0.76300000000000001</v>
      </c>
    </row>
    <row r="8" spans="1:10" x14ac:dyDescent="0.2">
      <c r="A8" s="2" t="s">
        <v>157</v>
      </c>
      <c r="B8" s="3">
        <v>0.995</v>
      </c>
      <c r="J8" s="5"/>
    </row>
    <row r="9" spans="1:10" x14ac:dyDescent="0.2">
      <c r="A9" s="2" t="s">
        <v>153</v>
      </c>
      <c r="B9" s="4">
        <v>0.74</v>
      </c>
      <c r="J9" s="5"/>
    </row>
    <row r="10" spans="1:10" x14ac:dyDescent="0.2">
      <c r="A10" s="2" t="s">
        <v>155</v>
      </c>
      <c r="B10" s="3">
        <v>1.008</v>
      </c>
      <c r="J10" s="5"/>
    </row>
    <row r="11" spans="1:10" x14ac:dyDescent="0.2">
      <c r="A11" s="2" t="s">
        <v>156</v>
      </c>
      <c r="B11" s="3">
        <v>1.4450000000000001</v>
      </c>
      <c r="J11" s="5"/>
    </row>
    <row r="12" spans="1:10" x14ac:dyDescent="0.2">
      <c r="A12" s="2" t="s">
        <v>154</v>
      </c>
      <c r="B12" s="4">
        <v>1</v>
      </c>
      <c r="J12" s="5"/>
    </row>
    <row r="13" spans="1:10" x14ac:dyDescent="0.2">
      <c r="J13" s="5"/>
    </row>
    <row r="14" spans="1:10" x14ac:dyDescent="0.2">
      <c r="J14" s="5"/>
    </row>
    <row r="15" spans="1:10" x14ac:dyDescent="0.2">
      <c r="J15" s="5"/>
    </row>
    <row r="16" spans="1:10" x14ac:dyDescent="0.2">
      <c r="J16" s="5"/>
    </row>
    <row r="17" spans="10:10" x14ac:dyDescent="0.2">
      <c r="J17" s="5"/>
    </row>
  </sheetData>
  <sortState xmlns:xlrd2="http://schemas.microsoft.com/office/spreadsheetml/2017/richdata2" ref="A1:B12">
    <sortCondition ref="A1"/>
  </sortState>
  <mergeCells count="1">
    <mergeCell ref="G2:G4"/>
  </mergeCells>
  <dataValidations count="1">
    <dataValidation type="list" allowBlank="1" showInputMessage="1" showErrorMessage="1" sqref="F2:F3" xr:uid="{00000000-0002-0000-0100-000000000000}">
      <formula1>$A$1:$A$12</formula1>
    </dataValidation>
  </dataValidation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MFCInventory-ReadDirectlyByFlar</vt:lpstr>
      <vt:lpstr>Gas Conversion Factors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Jefferson, Melina</dc:creator>
  <cp:lastModifiedBy>Jorge Rangel de la Tejera</cp:lastModifiedBy>
  <dcterms:created xsi:type="dcterms:W3CDTF">2019-09-03T15:12:56Z</dcterms:created>
  <dcterms:modified xsi:type="dcterms:W3CDTF">2026-01-29T18:20:54Z</dcterms:modified>
</cp:coreProperties>
</file>